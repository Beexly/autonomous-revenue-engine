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UTM Builder" sheetId="2" state="visible" r:id="rId2"/>
    <sheet name="Weekly Reconciliation" sheetId="3" state="visible" r:id="rId3"/>
    <sheet name="EMQ Tracker" sheetId="4" state="visible" r:id="rId4"/>
    <sheet name="Campaig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3" borderId="1" pivotButton="0" quotePrefix="0" xfId="0"/>
    <xf numFmtId="0" fontId="3" fillId="0" borderId="1" pivotButton="0" quotePrefix="0" xfId="0"/>
    <xf numFmtId="0" fontId="2" fillId="0" borderId="0" pivotButton="0" quotePrefix="0" xfId="0"/>
    <xf numFmtId="164" fontId="3" fillId="0" borderId="1" pivotButton="0" quotePrefix="0" xfId="0"/>
    <xf numFmtId="165" fontId="6" fillId="3" borderId="1" pivotButton="0" quotePrefix="0" xfId="0"/>
    <xf numFmtId="166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Meta Ads Tracking &amp; Reconciliation Tracker</t>
        </is>
      </c>
    </row>
    <row r="2">
      <c r="A2" s="2" t="inlineStr">
        <is>
          <t>Catch double-counting, match-quality decay, and CPA drift before they burn your budget.</t>
        </is>
      </c>
    </row>
    <row r="3">
      <c r="A3" s="3" t="inlineStr"/>
    </row>
    <row r="4">
      <c r="A4" s="4" t="inlineStr">
        <is>
          <t>HOW TO USE</t>
        </is>
      </c>
    </row>
    <row r="5">
      <c r="A5" s="3" t="inlineStr">
        <is>
          <t>1. UTM Builder: fill the yellow cells; the final URL builds itself. Paste it into your ad's website URL field.</t>
        </is>
      </c>
    </row>
    <row r="6">
      <c r="A6" s="3" t="inlineStr">
        <is>
          <t>2. Weekly Reconciliation: every Monday, enter Meta-reported and backend (store) numbers for last week. The Status column flags likely dedup or delivery problems automatically.</t>
        </is>
      </c>
    </row>
    <row r="7">
      <c r="A7" s="3" t="inlineStr">
        <is>
          <t>3. EMQ Tracker: monthly, copy each server event's Event Match Quality from Events Manager and mark which customer parameters are present (Y/N). Watch the score trend.</t>
        </is>
      </c>
    </row>
    <row r="8">
      <c r="A8" s="3" t="inlineStr">
        <is>
          <t>4. Campaign Log: per campaign, compare Meta's CPA to your TRUE CPA computed from backend conversions. A widening gap means your tracking, not your ads, changed.</t>
        </is>
      </c>
    </row>
    <row r="9">
      <c r="A9" s="3" t="inlineStr"/>
    </row>
    <row r="10">
      <c r="A10" s="4" t="inlineStr">
        <is>
          <t>LEGEND</t>
        </is>
      </c>
    </row>
    <row r="11">
      <c r="A11" s="3" t="inlineStr">
        <is>
          <t>Yellow cells = you type here.  Black cells = formulas, leave them alone.  Row 4 of each sheet is a worked example - overwrite it with your own data.</t>
        </is>
      </c>
    </row>
    <row r="12">
      <c r="A12" s="2" t="inlineStr">
        <is>
          <t>Thresholds used by the Status flags: Meta more than 15% above backend = possible double-counting (check event_id dedup). Meta more than 15% below = possible delivery/rejection problem. Both from practitioner norms; edit the formulas if your tolerance differs.</t>
        </is>
      </c>
    </row>
    <row r="13">
      <c r="A13" s="3" t="inlineStr"/>
    </row>
    <row r="14">
      <c r="A14" s="2" t="inlineStr">
        <is>
          <t>Companion: the free 15-point audit checklist and fixed-price audit service - see the link on the last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6" customWidth="1" min="3" max="3"/>
    <col width="16" customWidth="1" min="4" max="4"/>
    <col width="18" customWidth="1" min="5" max="5"/>
    <col width="60" customWidth="1" min="6" max="6"/>
  </cols>
  <sheetData>
    <row r="1">
      <c r="A1" s="5" t="inlineStr">
        <is>
          <t>UTM Builder — consistent tags or your attribution is fiction</t>
        </is>
      </c>
    </row>
    <row r="3">
      <c r="A3" s="6" t="inlineStr">
        <is>
          <t>Base URL</t>
        </is>
      </c>
      <c r="B3" s="6" t="inlineStr">
        <is>
          <t>Campaign (utm_campaign)</t>
        </is>
      </c>
      <c r="C3" s="6" t="inlineStr">
        <is>
          <t>Source (utm_source)</t>
        </is>
      </c>
      <c r="D3" s="6" t="inlineStr">
        <is>
          <t>Medium (utm_medium)</t>
        </is>
      </c>
      <c r="E3" s="6" t="inlineStr">
        <is>
          <t>Content (utm_content)</t>
        </is>
      </c>
      <c r="F3" s="6" t="inlineStr">
        <is>
          <t>Final tagged URL (copy this)</t>
        </is>
      </c>
    </row>
    <row r="4">
      <c r="A4" s="7" t="inlineStr">
        <is>
          <t>https://yourstore.com/product</t>
        </is>
      </c>
      <c r="B4" s="7" t="inlineStr">
        <is>
          <t>spring_sale</t>
        </is>
      </c>
      <c r="C4" s="7" t="inlineStr">
        <is>
          <t>facebook</t>
        </is>
      </c>
      <c r="D4" s="7" t="inlineStr">
        <is>
          <t>paid_social</t>
        </is>
      </c>
      <c r="E4" s="7" t="inlineStr">
        <is>
          <t>carousel_v2</t>
        </is>
      </c>
      <c r="F4" s="8">
        <f>IF(A4="","",A4&amp;"?utm_source="&amp;C4&amp;"&amp;utm_medium="&amp;D4&amp;"&amp;utm_campaign="&amp;B4&amp;IF(E4="","","&amp;utm_content="&amp;E4))</f>
        <v/>
      </c>
    </row>
    <row r="5">
      <c r="A5" s="7" t="n"/>
      <c r="B5" s="7" t="n"/>
      <c r="C5" s="7" t="n"/>
      <c r="D5" s="7" t="n"/>
      <c r="E5" s="7" t="n"/>
      <c r="F5" s="8">
        <f>IF(A5="","",A5&amp;"?utm_source="&amp;C5&amp;"&amp;utm_medium="&amp;D5&amp;"&amp;utm_campaign="&amp;B5&amp;IF(E5="","","&amp;utm_content="&amp;E5))</f>
        <v/>
      </c>
    </row>
    <row r="6">
      <c r="A6" s="7" t="n"/>
      <c r="B6" s="7" t="n"/>
      <c r="C6" s="7" t="n"/>
      <c r="D6" s="7" t="n"/>
      <c r="E6" s="7" t="n"/>
      <c r="F6" s="8">
        <f>IF(A6="","",A6&amp;"?utm_source="&amp;C6&amp;"&amp;utm_medium="&amp;D6&amp;"&amp;utm_campaign="&amp;B6&amp;IF(E6="","","&amp;utm_content="&amp;E6))</f>
        <v/>
      </c>
    </row>
    <row r="7">
      <c r="A7" s="7" t="n"/>
      <c r="B7" s="7" t="n"/>
      <c r="C7" s="7" t="n"/>
      <c r="D7" s="7" t="n"/>
      <c r="E7" s="7" t="n"/>
      <c r="F7" s="8">
        <f>IF(A7="","",A7&amp;"?utm_source="&amp;C7&amp;"&amp;utm_medium="&amp;D7&amp;"&amp;utm_campaign="&amp;B7&amp;IF(E7="","","&amp;utm_content="&amp;E7))</f>
        <v/>
      </c>
    </row>
    <row r="8">
      <c r="A8" s="7" t="n"/>
      <c r="B8" s="7" t="n"/>
      <c r="C8" s="7" t="n"/>
      <c r="D8" s="7" t="n"/>
      <c r="E8" s="7" t="n"/>
      <c r="F8" s="8">
        <f>IF(A8="","",A8&amp;"?utm_source="&amp;C8&amp;"&amp;utm_medium="&amp;D8&amp;"&amp;utm_campaign="&amp;B8&amp;IF(E8="","","&amp;utm_content="&amp;E8))</f>
        <v/>
      </c>
    </row>
    <row r="9">
      <c r="A9" s="7" t="n"/>
      <c r="B9" s="7" t="n"/>
      <c r="C9" s="7" t="n"/>
      <c r="D9" s="7" t="n"/>
      <c r="E9" s="7" t="n"/>
      <c r="F9" s="8">
        <f>IF(A9="","",A9&amp;"?utm_source="&amp;C9&amp;"&amp;utm_medium="&amp;D9&amp;"&amp;utm_campaign="&amp;B9&amp;IF(E9="","","&amp;utm_content="&amp;E9))</f>
        <v/>
      </c>
    </row>
    <row r="10">
      <c r="A10" s="7" t="n"/>
      <c r="B10" s="7" t="n"/>
      <c r="C10" s="7" t="n"/>
      <c r="D10" s="7" t="n"/>
      <c r="E10" s="7" t="n"/>
      <c r="F10" s="8">
        <f>IF(A10="","",A10&amp;"?utm_source="&amp;C10&amp;"&amp;utm_medium="&amp;D10&amp;"&amp;utm_campaign="&amp;B10&amp;IF(E10="","","&amp;utm_content="&amp;E10))</f>
        <v/>
      </c>
    </row>
    <row r="11">
      <c r="A11" s="7" t="n"/>
      <c r="B11" s="7" t="n"/>
      <c r="C11" s="7" t="n"/>
      <c r="D11" s="7" t="n"/>
      <c r="E11" s="7" t="n"/>
      <c r="F11" s="8">
        <f>IF(A11="","",A11&amp;"?utm_source="&amp;C11&amp;"&amp;utm_medium="&amp;D11&amp;"&amp;utm_campaign="&amp;B11&amp;IF(E11="","","&amp;utm_content="&amp;E11))</f>
        <v/>
      </c>
    </row>
    <row r="12">
      <c r="A12" s="7" t="n"/>
      <c r="B12" s="7" t="n"/>
      <c r="C12" s="7" t="n"/>
      <c r="D12" s="7" t="n"/>
      <c r="E12" s="7" t="n"/>
      <c r="F12" s="8">
        <f>IF(A12="","",A12&amp;"?utm_source="&amp;C12&amp;"&amp;utm_medium="&amp;D12&amp;"&amp;utm_campaign="&amp;B12&amp;IF(E12="","","&amp;utm_content="&amp;E12))</f>
        <v/>
      </c>
    </row>
    <row r="13">
      <c r="A13" s="7" t="n"/>
      <c r="B13" s="7" t="n"/>
      <c r="C13" s="7" t="n"/>
      <c r="D13" s="7" t="n"/>
      <c r="E13" s="7" t="n"/>
      <c r="F13" s="8">
        <f>IF(A13="","",A13&amp;"?utm_source="&amp;C13&amp;"&amp;utm_medium="&amp;D13&amp;"&amp;utm_campaign="&amp;B13&amp;IF(E13="","","&amp;utm_content="&amp;E13))</f>
        <v/>
      </c>
    </row>
    <row r="14">
      <c r="A14" s="7" t="n"/>
      <c r="B14" s="7" t="n"/>
      <c r="C14" s="7" t="n"/>
      <c r="D14" s="7" t="n"/>
      <c r="E14" s="7" t="n"/>
      <c r="F14" s="8">
        <f>IF(A14="","",A14&amp;"?utm_source="&amp;C14&amp;"&amp;utm_medium="&amp;D14&amp;"&amp;utm_campaign="&amp;B14&amp;IF(E14="","","&amp;utm_content="&amp;E14))</f>
        <v/>
      </c>
    </row>
    <row r="15">
      <c r="A15" s="7" t="n"/>
      <c r="B15" s="7" t="n"/>
      <c r="C15" s="7" t="n"/>
      <c r="D15" s="7" t="n"/>
      <c r="E15" s="7" t="n"/>
      <c r="F15" s="8">
        <f>IF(A15="","",A15&amp;"?utm_source="&amp;C15&amp;"&amp;utm_medium="&amp;D15&amp;"&amp;utm_campaign="&amp;B15&amp;IF(E15="","","&amp;utm_content="&amp;E15))</f>
        <v/>
      </c>
    </row>
    <row r="16">
      <c r="A16" s="7" t="n"/>
      <c r="B16" s="7" t="n"/>
      <c r="C16" s="7" t="n"/>
      <c r="D16" s="7" t="n"/>
      <c r="E16" s="7" t="n"/>
      <c r="F16" s="8">
        <f>IF(A16="","",A16&amp;"?utm_source="&amp;C16&amp;"&amp;utm_medium="&amp;D16&amp;"&amp;utm_campaign="&amp;B16&amp;IF(E16="","","&amp;utm_content="&amp;E16))</f>
        <v/>
      </c>
    </row>
    <row r="17">
      <c r="A17" s="7" t="n"/>
      <c r="B17" s="7" t="n"/>
      <c r="C17" s="7" t="n"/>
      <c r="D17" s="7" t="n"/>
      <c r="E17" s="7" t="n"/>
      <c r="F17" s="8">
        <f>IF(A17="","",A17&amp;"?utm_source="&amp;C17&amp;"&amp;utm_medium="&amp;D17&amp;"&amp;utm_campaign="&amp;B17&amp;IF(E17="","","&amp;utm_content="&amp;E17))</f>
        <v/>
      </c>
    </row>
    <row r="18">
      <c r="A18" s="7" t="n"/>
      <c r="B18" s="7" t="n"/>
      <c r="C18" s="7" t="n"/>
      <c r="D18" s="7" t="n"/>
      <c r="E18" s="7" t="n"/>
      <c r="F18" s="8">
        <f>IF(A18="","",A18&amp;"?utm_source="&amp;C18&amp;"&amp;utm_medium="&amp;D18&amp;"&amp;utm_campaign="&amp;B18&amp;IF(E18="","","&amp;utm_content="&amp;E18))</f>
        <v/>
      </c>
    </row>
    <row r="19">
      <c r="A19" s="7" t="n"/>
      <c r="B19" s="7" t="n"/>
      <c r="C19" s="7" t="n"/>
      <c r="D19" s="7" t="n"/>
      <c r="E19" s="7" t="n"/>
      <c r="F19" s="8">
        <f>IF(A19="","",A19&amp;"?utm_source="&amp;C19&amp;"&amp;utm_medium="&amp;D19&amp;"&amp;utm_campaign="&amp;B19&amp;IF(E19="","","&amp;utm_content="&amp;E19))</f>
        <v/>
      </c>
    </row>
    <row r="20">
      <c r="A20" s="7" t="n"/>
      <c r="B20" s="7" t="n"/>
      <c r="C20" s="7" t="n"/>
      <c r="D20" s="7" t="n"/>
      <c r="E20" s="7" t="n"/>
      <c r="F20" s="8">
        <f>IF(A20="","",A20&amp;"?utm_source="&amp;C20&amp;"&amp;utm_medium="&amp;D20&amp;"&amp;utm_campaign="&amp;B20&amp;IF(E20="","","&amp;utm_content="&amp;E20))</f>
        <v/>
      </c>
    </row>
    <row r="21">
      <c r="A21" s="7" t="n"/>
      <c r="B21" s="7" t="n"/>
      <c r="C21" s="7" t="n"/>
      <c r="D21" s="7" t="n"/>
      <c r="E21" s="7" t="n"/>
      <c r="F21" s="8">
        <f>IF(A21="","",A21&amp;"?utm_source="&amp;C21&amp;"&amp;utm_medium="&amp;D21&amp;"&amp;utm_campaign="&amp;B21&amp;IF(E21="","","&amp;utm_content="&amp;E21))</f>
        <v/>
      </c>
    </row>
    <row r="22">
      <c r="A22" s="7" t="n"/>
      <c r="B22" s="7" t="n"/>
      <c r="C22" s="7" t="n"/>
      <c r="D22" s="7" t="n"/>
      <c r="E22" s="7" t="n"/>
      <c r="F22" s="8">
        <f>IF(A22="","",A22&amp;"?utm_source="&amp;C22&amp;"&amp;utm_medium="&amp;D22&amp;"&amp;utm_campaign="&amp;B22&amp;IF(E22="","","&amp;utm_content="&amp;E22))</f>
        <v/>
      </c>
    </row>
    <row r="23">
      <c r="A23" s="7" t="n"/>
      <c r="B23" s="7" t="n"/>
      <c r="C23" s="7" t="n"/>
      <c r="D23" s="7" t="n"/>
      <c r="E23" s="7" t="n"/>
      <c r="F23" s="8">
        <f>IF(A23="","",A23&amp;"?utm_source="&amp;C23&amp;"&amp;utm_medium="&amp;D23&amp;"&amp;utm_campaign="&amp;B23&amp;IF(E23="","","&amp;utm_content="&amp;E23))</f>
        <v/>
      </c>
    </row>
    <row r="25">
      <c r="A25" s="9" t="inlineStr">
        <is>
          <t>Rule: lowercase everything, no spaces (use_underscores). utm_source=facebook and utm_source=Facebook are two different sources to your analytics.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5" customWidth="1" min="6" max="6"/>
    <col width="13" customWidth="1" min="7" max="7"/>
    <col width="30" customWidth="1" min="8" max="8"/>
  </cols>
  <sheetData>
    <row r="1">
      <c r="A1" s="5" t="inlineStr">
        <is>
          <t>Weekly Reconciliation — Meta vs your backend, every Monday</t>
        </is>
      </c>
    </row>
    <row r="3">
      <c r="A3" s="6" t="inlineStr">
        <is>
          <t>Week starting</t>
        </is>
      </c>
      <c r="B3" s="6" t="inlineStr">
        <is>
          <t>Meta purchases</t>
        </is>
      </c>
      <c r="C3" s="6" t="inlineStr">
        <is>
          <t>Backend purchases</t>
        </is>
      </c>
      <c r="D3" s="6" t="inlineStr">
        <is>
          <t>Purchases gap %</t>
        </is>
      </c>
      <c r="E3" s="6" t="inlineStr">
        <is>
          <t>Meta revenue ($)</t>
        </is>
      </c>
      <c r="F3" s="6" t="inlineStr">
        <is>
          <t>Backend revenue ($)</t>
        </is>
      </c>
      <c r="G3" s="6" t="inlineStr">
        <is>
          <t>Revenue gap %</t>
        </is>
      </c>
      <c r="H3" s="6" t="inlineStr">
        <is>
          <t>Status</t>
        </is>
      </c>
    </row>
    <row r="4">
      <c r="A4" s="7" t="inlineStr">
        <is>
          <t>2026-08-17</t>
        </is>
      </c>
      <c r="B4" s="7" t="n">
        <v>142</v>
      </c>
      <c r="C4" s="7" t="n">
        <v>104</v>
      </c>
      <c r="D4" s="10">
        <f>IF(C4=0,"",(B4-C4)/C4)</f>
        <v/>
      </c>
      <c r="E4" s="11" t="n">
        <v>8940</v>
      </c>
      <c r="F4" s="11" t="n">
        <v>6512</v>
      </c>
      <c r="G4" s="10">
        <f>IF(F4=0,"",(E4-F4)/F4)</f>
        <v/>
      </c>
      <c r="H4" s="8">
        <f>IF(C4=0,"",IF(D4&gt;0.15,"CHECK DEDUP (double-counting?)",IF(D4&lt;-0.15,"CHECK DELIVERY (events missing?)","OK")))</f>
        <v/>
      </c>
    </row>
    <row r="5">
      <c r="A5" s="7" t="n"/>
      <c r="B5" s="7" t="n"/>
      <c r="C5" s="7" t="n"/>
      <c r="D5" s="10">
        <f>IF(C5=0,"",(B5-C5)/C5)</f>
        <v/>
      </c>
      <c r="E5" s="11" t="n"/>
      <c r="F5" s="11" t="n"/>
      <c r="G5" s="10">
        <f>IF(F5=0,"",(E5-F5)/F5)</f>
        <v/>
      </c>
      <c r="H5" s="8">
        <f>IF(C5=0,"",IF(D5&gt;0.15,"CHECK DEDUP (double-counting?)",IF(D5&lt;-0.15,"CHECK DELIVERY (events missing?)","OK")))</f>
        <v/>
      </c>
    </row>
    <row r="6">
      <c r="A6" s="7" t="n"/>
      <c r="B6" s="7" t="n"/>
      <c r="C6" s="7" t="n"/>
      <c r="D6" s="10">
        <f>IF(C6=0,"",(B6-C6)/C6)</f>
        <v/>
      </c>
      <c r="E6" s="11" t="n"/>
      <c r="F6" s="11" t="n"/>
      <c r="G6" s="10">
        <f>IF(F6=0,"",(E6-F6)/F6)</f>
        <v/>
      </c>
      <c r="H6" s="8">
        <f>IF(C6=0,"",IF(D6&gt;0.15,"CHECK DEDUP (double-counting?)",IF(D6&lt;-0.15,"CHECK DELIVERY (events missing?)","OK")))</f>
        <v/>
      </c>
    </row>
    <row r="7">
      <c r="A7" s="7" t="n"/>
      <c r="B7" s="7" t="n"/>
      <c r="C7" s="7" t="n"/>
      <c r="D7" s="10">
        <f>IF(C7=0,"",(B7-C7)/C7)</f>
        <v/>
      </c>
      <c r="E7" s="11" t="n"/>
      <c r="F7" s="11" t="n"/>
      <c r="G7" s="10">
        <f>IF(F7=0,"",(E7-F7)/F7)</f>
        <v/>
      </c>
      <c r="H7" s="8">
        <f>IF(C7=0,"",IF(D7&gt;0.15,"CHECK DEDUP (double-counting?)",IF(D7&lt;-0.15,"CHECK DELIVERY (events missing?)","OK")))</f>
        <v/>
      </c>
    </row>
    <row r="8">
      <c r="A8" s="7" t="n"/>
      <c r="B8" s="7" t="n"/>
      <c r="C8" s="7" t="n"/>
      <c r="D8" s="10">
        <f>IF(C8=0,"",(B8-C8)/C8)</f>
        <v/>
      </c>
      <c r="E8" s="11" t="n"/>
      <c r="F8" s="11" t="n"/>
      <c r="G8" s="10">
        <f>IF(F8=0,"",(E8-F8)/F8)</f>
        <v/>
      </c>
      <c r="H8" s="8">
        <f>IF(C8=0,"",IF(D8&gt;0.15,"CHECK DEDUP (double-counting?)",IF(D8&lt;-0.15,"CHECK DELIVERY (events missing?)","OK")))</f>
        <v/>
      </c>
    </row>
    <row r="9">
      <c r="A9" s="7" t="n"/>
      <c r="B9" s="7" t="n"/>
      <c r="C9" s="7" t="n"/>
      <c r="D9" s="10">
        <f>IF(C9=0,"",(B9-C9)/C9)</f>
        <v/>
      </c>
      <c r="E9" s="11" t="n"/>
      <c r="F9" s="11" t="n"/>
      <c r="G9" s="10">
        <f>IF(F9=0,"",(E9-F9)/F9)</f>
        <v/>
      </c>
      <c r="H9" s="8">
        <f>IF(C9=0,"",IF(D9&gt;0.15,"CHECK DEDUP (double-counting?)",IF(D9&lt;-0.15,"CHECK DELIVERY (events missing?)","OK")))</f>
        <v/>
      </c>
    </row>
    <row r="10">
      <c r="A10" s="7" t="n"/>
      <c r="B10" s="7" t="n"/>
      <c r="C10" s="7" t="n"/>
      <c r="D10" s="10">
        <f>IF(C10=0,"",(B10-C10)/C10)</f>
        <v/>
      </c>
      <c r="E10" s="11" t="n"/>
      <c r="F10" s="11" t="n"/>
      <c r="G10" s="10">
        <f>IF(F10=0,"",(E10-F10)/F10)</f>
        <v/>
      </c>
      <c r="H10" s="8">
        <f>IF(C10=0,"",IF(D10&gt;0.15,"CHECK DEDUP (double-counting?)",IF(D10&lt;-0.15,"CHECK DELIVERY (events missing?)","OK")))</f>
        <v/>
      </c>
    </row>
    <row r="11">
      <c r="A11" s="7" t="n"/>
      <c r="B11" s="7" t="n"/>
      <c r="C11" s="7" t="n"/>
      <c r="D11" s="10">
        <f>IF(C11=0,"",(B11-C11)/C11)</f>
        <v/>
      </c>
      <c r="E11" s="11" t="n"/>
      <c r="F11" s="11" t="n"/>
      <c r="G11" s="10">
        <f>IF(F11=0,"",(E11-F11)/F11)</f>
        <v/>
      </c>
      <c r="H11" s="8">
        <f>IF(C11=0,"",IF(D11&gt;0.15,"CHECK DEDUP (double-counting?)",IF(D11&lt;-0.15,"CHECK DELIVERY (events missing?)","OK")))</f>
        <v/>
      </c>
    </row>
    <row r="12">
      <c r="A12" s="7" t="n"/>
      <c r="B12" s="7" t="n"/>
      <c r="C12" s="7" t="n"/>
      <c r="D12" s="10">
        <f>IF(C12=0,"",(B12-C12)/C12)</f>
        <v/>
      </c>
      <c r="E12" s="11" t="n"/>
      <c r="F12" s="11" t="n"/>
      <c r="G12" s="10">
        <f>IF(F12=0,"",(E12-F12)/F12)</f>
        <v/>
      </c>
      <c r="H12" s="8">
        <f>IF(C12=0,"",IF(D12&gt;0.15,"CHECK DEDUP (double-counting?)",IF(D12&lt;-0.15,"CHECK DELIVERY (events missing?)","OK")))</f>
        <v/>
      </c>
    </row>
    <row r="13">
      <c r="A13" s="7" t="n"/>
      <c r="B13" s="7" t="n"/>
      <c r="C13" s="7" t="n"/>
      <c r="D13" s="10">
        <f>IF(C13=0,"",(B13-C13)/C13)</f>
        <v/>
      </c>
      <c r="E13" s="11" t="n"/>
      <c r="F13" s="11" t="n"/>
      <c r="G13" s="10">
        <f>IF(F13=0,"",(E13-F13)/F13)</f>
        <v/>
      </c>
      <c r="H13" s="8">
        <f>IF(C13=0,"",IF(D13&gt;0.15,"CHECK DEDUP (double-counting?)",IF(D13&lt;-0.15,"CHECK DELIVERY (events missing?)","OK")))</f>
        <v/>
      </c>
    </row>
    <row r="14">
      <c r="A14" s="7" t="n"/>
      <c r="B14" s="7" t="n"/>
      <c r="C14" s="7" t="n"/>
      <c r="D14" s="10">
        <f>IF(C14=0,"",(B14-C14)/C14)</f>
        <v/>
      </c>
      <c r="E14" s="11" t="n"/>
      <c r="F14" s="11" t="n"/>
      <c r="G14" s="10">
        <f>IF(F14=0,"",(E14-F14)/F14)</f>
        <v/>
      </c>
      <c r="H14" s="8">
        <f>IF(C14=0,"",IF(D14&gt;0.15,"CHECK DEDUP (double-counting?)",IF(D14&lt;-0.15,"CHECK DELIVERY (events missing?)","OK")))</f>
        <v/>
      </c>
    </row>
    <row r="15">
      <c r="A15" s="7" t="n"/>
      <c r="B15" s="7" t="n"/>
      <c r="C15" s="7" t="n"/>
      <c r="D15" s="10">
        <f>IF(C15=0,"",(B15-C15)/C15)</f>
        <v/>
      </c>
      <c r="E15" s="11" t="n"/>
      <c r="F15" s="11" t="n"/>
      <c r="G15" s="10">
        <f>IF(F15=0,"",(E15-F15)/F15)</f>
        <v/>
      </c>
      <c r="H15" s="8">
        <f>IF(C15=0,"",IF(D15&gt;0.15,"CHECK DEDUP (double-counting?)",IF(D15&lt;-0.15,"CHECK DELIVERY (events missing?)","OK")))</f>
        <v/>
      </c>
    </row>
    <row r="16">
      <c r="A16" s="7" t="n"/>
      <c r="B16" s="7" t="n"/>
      <c r="C16" s="7" t="n"/>
      <c r="D16" s="10">
        <f>IF(C16=0,"",(B16-C16)/C16)</f>
        <v/>
      </c>
      <c r="E16" s="11" t="n"/>
      <c r="F16" s="11" t="n"/>
      <c r="G16" s="10">
        <f>IF(F16=0,"",(E16-F16)/F16)</f>
        <v/>
      </c>
      <c r="H16" s="8">
        <f>IF(C16=0,"",IF(D16&gt;0.15,"CHECK DEDUP (double-counting?)",IF(D16&lt;-0.15,"CHECK DELIVERY (events missing?)","OK")))</f>
        <v/>
      </c>
    </row>
    <row r="17">
      <c r="A17" s="7" t="n"/>
      <c r="B17" s="7" t="n"/>
      <c r="C17" s="7" t="n"/>
      <c r="D17" s="10">
        <f>IF(C17=0,"",(B17-C17)/C17)</f>
        <v/>
      </c>
      <c r="E17" s="11" t="n"/>
      <c r="F17" s="11" t="n"/>
      <c r="G17" s="10">
        <f>IF(F17=0,"",(E17-F17)/F17)</f>
        <v/>
      </c>
      <c r="H17" s="8">
        <f>IF(C17=0,"",IF(D17&gt;0.15,"CHECK DEDUP (double-counting?)",IF(D17&lt;-0.15,"CHECK DELIVERY (events missing?)","OK")))</f>
        <v/>
      </c>
    </row>
    <row r="18">
      <c r="A18" s="7" t="n"/>
      <c r="B18" s="7" t="n"/>
      <c r="C18" s="7" t="n"/>
      <c r="D18" s="10">
        <f>IF(C18=0,"",(B18-C18)/C18)</f>
        <v/>
      </c>
      <c r="E18" s="11" t="n"/>
      <c r="F18" s="11" t="n"/>
      <c r="G18" s="10">
        <f>IF(F18=0,"",(E18-F18)/F18)</f>
        <v/>
      </c>
      <c r="H18" s="8">
        <f>IF(C18=0,"",IF(D18&gt;0.15,"CHECK DEDUP (double-counting?)",IF(D18&lt;-0.15,"CHECK DELIVERY (events missing?)","OK")))</f>
        <v/>
      </c>
    </row>
    <row r="19">
      <c r="A19" s="7" t="n"/>
      <c r="B19" s="7" t="n"/>
      <c r="C19" s="7" t="n"/>
      <c r="D19" s="10">
        <f>IF(C19=0,"",(B19-C19)/C19)</f>
        <v/>
      </c>
      <c r="E19" s="11" t="n"/>
      <c r="F19" s="11" t="n"/>
      <c r="G19" s="10">
        <f>IF(F19=0,"",(E19-F19)/F19)</f>
        <v/>
      </c>
      <c r="H19" s="8">
        <f>IF(C19=0,"",IF(D19&gt;0.15,"CHECK DEDUP (double-counting?)",IF(D19&lt;-0.15,"CHECK DELIVERY (events missing?)","OK")))</f>
        <v/>
      </c>
    </row>
    <row r="20">
      <c r="A20" s="7" t="n"/>
      <c r="B20" s="7" t="n"/>
      <c r="C20" s="7" t="n"/>
      <c r="D20" s="10">
        <f>IF(C20=0,"",(B20-C20)/C20)</f>
        <v/>
      </c>
      <c r="E20" s="11" t="n"/>
      <c r="F20" s="11" t="n"/>
      <c r="G20" s="10">
        <f>IF(F20=0,"",(E20-F20)/F20)</f>
        <v/>
      </c>
      <c r="H20" s="8">
        <f>IF(C20=0,"",IF(D20&gt;0.15,"CHECK DEDUP (double-counting?)",IF(D20&lt;-0.15,"CHECK DELIVERY (events missing?)","OK")))</f>
        <v/>
      </c>
    </row>
    <row r="21">
      <c r="A21" s="7" t="n"/>
      <c r="B21" s="7" t="n"/>
      <c r="C21" s="7" t="n"/>
      <c r="D21" s="10">
        <f>IF(C21=0,"",(B21-C21)/C21)</f>
        <v/>
      </c>
      <c r="E21" s="11" t="n"/>
      <c r="F21" s="11" t="n"/>
      <c r="G21" s="10">
        <f>IF(F21=0,"",(E21-F21)/F21)</f>
        <v/>
      </c>
      <c r="H21" s="8">
        <f>IF(C21=0,"",IF(D21&gt;0.15,"CHECK DEDUP (double-counting?)",IF(D21&lt;-0.15,"CHECK DELIVERY (events missing?)","OK")))</f>
        <v/>
      </c>
    </row>
    <row r="22">
      <c r="A22" s="7" t="n"/>
      <c r="B22" s="7" t="n"/>
      <c r="C22" s="7" t="n"/>
      <c r="D22" s="10">
        <f>IF(C22=0,"",(B22-C22)/C22)</f>
        <v/>
      </c>
      <c r="E22" s="11" t="n"/>
      <c r="F22" s="11" t="n"/>
      <c r="G22" s="10">
        <f>IF(F22=0,"",(E22-F22)/F22)</f>
        <v/>
      </c>
      <c r="H22" s="8">
        <f>IF(C22=0,"",IF(D22&gt;0.15,"CHECK DEDUP (double-counting?)",IF(D22&lt;-0.15,"CHECK DELIVERY (events missing?)","OK")))</f>
        <v/>
      </c>
    </row>
    <row r="23">
      <c r="A23" s="7" t="n"/>
      <c r="B23" s="7" t="n"/>
      <c r="C23" s="7" t="n"/>
      <c r="D23" s="10">
        <f>IF(C23=0,"",(B23-C23)/C23)</f>
        <v/>
      </c>
      <c r="E23" s="11" t="n"/>
      <c r="F23" s="11" t="n"/>
      <c r="G23" s="10">
        <f>IF(F23=0,"",(E23-F23)/F23)</f>
        <v/>
      </c>
      <c r="H23" s="8">
        <f>IF(C23=0,"",IF(D23&gt;0.15,"CHECK DEDUP (double-counting?)",IF(D23&lt;-0.15,"CHECK DELIVERY (events missing?)","OK")))</f>
        <v/>
      </c>
    </row>
    <row r="24">
      <c r="A24" s="7" t="n"/>
      <c r="B24" s="7" t="n"/>
      <c r="C24" s="7" t="n"/>
      <c r="D24" s="10">
        <f>IF(C24=0,"",(B24-C24)/C24)</f>
        <v/>
      </c>
      <c r="E24" s="11" t="n"/>
      <c r="F24" s="11" t="n"/>
      <c r="G24" s="10">
        <f>IF(F24=0,"",(E24-F24)/F24)</f>
        <v/>
      </c>
      <c r="H24" s="8">
        <f>IF(C24=0,"",IF(D24&gt;0.15,"CHECK DEDUP (double-counting?)",IF(D24&lt;-0.15,"CHECK DELIVERY (events missing?)","OK")))</f>
        <v/>
      </c>
    </row>
    <row r="25">
      <c r="A25" s="7" t="n"/>
      <c r="B25" s="7" t="n"/>
      <c r="C25" s="7" t="n"/>
      <c r="D25" s="10">
        <f>IF(C25=0,"",(B25-C25)/C25)</f>
        <v/>
      </c>
      <c r="E25" s="11" t="n"/>
      <c r="F25" s="11" t="n"/>
      <c r="G25" s="10">
        <f>IF(F25=0,"",(E25-F25)/F25)</f>
        <v/>
      </c>
      <c r="H25" s="8">
        <f>IF(C25=0,"",IF(D25&gt;0.15,"CHECK DEDUP (double-counting?)",IF(D25&lt;-0.15,"CHECK DELIVERY (events missing?)","OK")))</f>
        <v/>
      </c>
    </row>
    <row r="26">
      <c r="A26" s="7" t="n"/>
      <c r="B26" s="7" t="n"/>
      <c r="C26" s="7" t="n"/>
      <c r="D26" s="10">
        <f>IF(C26=0,"",(B26-C26)/C26)</f>
        <v/>
      </c>
      <c r="E26" s="11" t="n"/>
      <c r="F26" s="11" t="n"/>
      <c r="G26" s="10">
        <f>IF(F26=0,"",(E26-F26)/F26)</f>
        <v/>
      </c>
      <c r="H26" s="8">
        <f>IF(C26=0,"",IF(D26&gt;0.15,"CHECK DEDUP (double-counting?)",IF(D26&lt;-0.15,"CHECK DELIVERY (events missing?)","OK")))</f>
        <v/>
      </c>
    </row>
    <row r="27">
      <c r="A27" s="7" t="n"/>
      <c r="B27" s="7" t="n"/>
      <c r="C27" s="7" t="n"/>
      <c r="D27" s="10">
        <f>IF(C27=0,"",(B27-C27)/C27)</f>
        <v/>
      </c>
      <c r="E27" s="11" t="n"/>
      <c r="F27" s="11" t="n"/>
      <c r="G27" s="10">
        <f>IF(F27=0,"",(E27-F27)/F27)</f>
        <v/>
      </c>
      <c r="H27" s="8">
        <f>IF(C27=0,"",IF(D27&gt;0.15,"CHECK DEDUP (double-counting?)",IF(D27&lt;-0.15,"CHECK DELIVERY (events missing?)","OK")))</f>
        <v/>
      </c>
    </row>
    <row r="28">
      <c r="A28" s="7" t="n"/>
      <c r="B28" s="7" t="n"/>
      <c r="C28" s="7" t="n"/>
      <c r="D28" s="10">
        <f>IF(C28=0,"",(B28-C28)/C28)</f>
        <v/>
      </c>
      <c r="E28" s="11" t="n"/>
      <c r="F28" s="11" t="n"/>
      <c r="G28" s="10">
        <f>IF(F28=0,"",(E28-F28)/F28)</f>
        <v/>
      </c>
      <c r="H28" s="8">
        <f>IF(C28=0,"",IF(D28&gt;0.15,"CHECK DEDUP (double-counting?)",IF(D28&lt;-0.15,"CHECK DELIVERY (events missing?)","OK")))</f>
        <v/>
      </c>
    </row>
    <row r="29">
      <c r="A29" s="7" t="n"/>
      <c r="B29" s="7" t="n"/>
      <c r="C29" s="7" t="n"/>
      <c r="D29" s="10">
        <f>IF(C29=0,"",(B29-C29)/C29)</f>
        <v/>
      </c>
      <c r="E29" s="11" t="n"/>
      <c r="F29" s="11" t="n"/>
      <c r="G29" s="10">
        <f>IF(F29=0,"",(E29-F29)/F29)</f>
        <v/>
      </c>
      <c r="H29" s="8">
        <f>IF(C29=0,"",IF(D29&gt;0.15,"CHECK DEDUP (double-counting?)",IF(D29&lt;-0.15,"CHECK DELIVERY (events missing?)","OK")))</f>
        <v/>
      </c>
    </row>
    <row r="31">
      <c r="A31" s="9" t="inlineStr">
        <is>
          <t>Normal attribution modeling keeps gaps within roughly +/-15%. Sustained +30% almost always = Pixel+CAPI firing without shared event_id.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9" customWidth="1" min="4" max="4"/>
    <col width="9" customWidth="1" min="5" max="5"/>
    <col width="13" customWidth="1" min="6" max="6"/>
    <col width="9" customWidth="1" min="7" max="7"/>
    <col width="9" customWidth="1" min="8" max="8"/>
    <col width="11" customWidth="1" min="9" max="9"/>
    <col width="13" customWidth="1" min="10" max="10"/>
    <col width="30" customWidth="1" min="11" max="11"/>
  </cols>
  <sheetData>
    <row r="1">
      <c r="A1" s="5" t="inlineStr">
        <is>
          <t>EMQ Tracker — monthly, per server event (from Events Manager)</t>
        </is>
      </c>
    </row>
    <row r="3">
      <c r="A3" s="6" t="inlineStr">
        <is>
          <t>Date checked</t>
        </is>
      </c>
      <c r="B3" s="6" t="inlineStr">
        <is>
          <t>Event</t>
        </is>
      </c>
      <c r="C3" s="6" t="inlineStr">
        <is>
          <t>EMQ (1-10)</t>
        </is>
      </c>
      <c r="D3" s="6" t="inlineStr">
        <is>
          <t>em (Y/N)</t>
        </is>
      </c>
      <c r="E3" s="6" t="inlineStr">
        <is>
          <t>ph (Y/N)</t>
        </is>
      </c>
      <c r="F3" s="6" t="inlineStr">
        <is>
          <t>external_id (Y/N)</t>
        </is>
      </c>
      <c r="G3" s="6" t="inlineStr">
        <is>
          <t>fbp (Y/N)</t>
        </is>
      </c>
      <c r="H3" s="6" t="inlineStr">
        <is>
          <t>fbc (Y/N)</t>
        </is>
      </c>
      <c r="I3" s="6" t="inlineStr">
        <is>
          <t>IP+UA (Y/N)</t>
        </is>
      </c>
      <c r="J3" s="6" t="inlineStr">
        <is>
          <t>Params missing</t>
        </is>
      </c>
      <c r="K3" s="6" t="inlineStr">
        <is>
          <t>Notes</t>
        </is>
      </c>
    </row>
    <row r="4">
      <c r="A4" s="7" t="inlineStr">
        <is>
          <t>2026-08-25</t>
        </is>
      </c>
      <c r="B4" s="7" t="inlineStr">
        <is>
          <t>Purchase</t>
        </is>
      </c>
      <c r="C4" s="7" t="n">
        <v>5.4</v>
      </c>
      <c r="D4" s="7" t="inlineStr">
        <is>
          <t>Y</t>
        </is>
      </c>
      <c r="E4" s="7" t="inlineStr">
        <is>
          <t>N</t>
        </is>
      </c>
      <c r="F4" s="7" t="inlineStr">
        <is>
          <t>N</t>
        </is>
      </c>
      <c r="G4" s="7" t="inlineStr">
        <is>
          <t>Y</t>
        </is>
      </c>
      <c r="H4" s="7" t="inlineStr">
        <is>
          <t>N</t>
        </is>
      </c>
      <c r="I4" s="7" t="inlineStr">
        <is>
          <t>Y</t>
        </is>
      </c>
      <c r="J4" s="8">
        <f>IF(B4="","",COUNTIF(D4:I4,"N"))</f>
        <v/>
      </c>
      <c r="K4" s="7" t="inlineStr">
        <is>
          <t>fbc absent on paid clicks - fix first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8">
        <f>IF(B5="","",COUNTIF(D5:I5,"N"))</f>
        <v/>
      </c>
      <c r="K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8">
        <f>IF(B6="","",COUNTIF(D6:I6,"N"))</f>
        <v/>
      </c>
      <c r="K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8">
        <f>IF(B7="","",COUNTIF(D7:I7,"N"))</f>
        <v/>
      </c>
      <c r="K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8">
        <f>IF(B8="","",COUNTIF(D8:I8,"N"))</f>
        <v/>
      </c>
      <c r="K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>
        <f>IF(B9="","",COUNTIF(D9:I9,"N"))</f>
        <v/>
      </c>
      <c r="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>
        <f>IF(B10="","",COUNTIF(D10:I10,"N"))</f>
        <v/>
      </c>
      <c r="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>
        <f>IF(B11="","",COUNTIF(D11:I11,"N"))</f>
        <v/>
      </c>
      <c r="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>
        <f>IF(B12="","",COUNTIF(D12:I12,"N"))</f>
        <v/>
      </c>
      <c r="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>
        <f>IF(B13="","",COUNTIF(D13:I13,"N"))</f>
        <v/>
      </c>
      <c r="K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8">
        <f>IF(B14="","",COUNTIF(D14:I14,"N"))</f>
        <v/>
      </c>
      <c r="K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>
        <f>IF(B15="","",COUNTIF(D15:I15,"N"))</f>
        <v/>
      </c>
      <c r="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>
        <f>IF(B16="","",COUNTIF(D16:I16,"N"))</f>
        <v/>
      </c>
      <c r="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8">
        <f>IF(B17="","",COUNTIF(D17:I17,"N"))</f>
        <v/>
      </c>
      <c r="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>
        <f>IF(B18="","",COUNTIF(D18:I18,"N"))</f>
        <v/>
      </c>
      <c r="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8">
        <f>IF(B19="","",COUNTIF(D19:I19,"N"))</f>
        <v/>
      </c>
      <c r="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8">
        <f>IF(B20="","",COUNTIF(D20:I20,"N"))</f>
        <v/>
      </c>
      <c r="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8">
        <f>IF(B21="","",COUNTIF(D21:I21,"N"))</f>
        <v/>
      </c>
      <c r="K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8">
        <f>IF(B22="","",COUNTIF(D22:I22,"N"))</f>
        <v/>
      </c>
      <c r="K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8">
        <f>IF(B23="","",COUNTIF(D23:I23,"N"))</f>
        <v/>
      </c>
      <c r="K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8">
        <f>IF(B24="","",COUNTIF(D24:I24,"N"))</f>
        <v/>
      </c>
      <c r="K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8">
        <f>IF(B25="","",COUNTIF(D25:I25,"N"))</f>
        <v/>
      </c>
      <c r="K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8">
        <f>IF(B26="","",COUNTIF(D26:I26,"N"))</f>
        <v/>
      </c>
      <c r="K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8">
        <f>IF(B27="","",COUNTIF(D27:I27,"N"))</f>
        <v/>
      </c>
      <c r="K27" s="7" t="n"/>
    </row>
    <row r="29">
      <c r="A29" s="9" t="inlineStr">
        <is>
          <t>Target: EMQ 8+ on Purchase/Lead. Every N is a fix-list line; em/ph must be SHA-256 of lowercased, trimmed values or they will not match.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2" customWidth="1" min="3" max="3"/>
    <col width="15" customWidth="1" min="4" max="4"/>
    <col width="16" customWidth="1" min="5" max="5"/>
    <col width="12" customWidth="1" min="6" max="6"/>
    <col width="12" customWidth="1" min="7" max="7"/>
    <col width="16" customWidth="1" min="8" max="8"/>
  </cols>
  <sheetData>
    <row r="1">
      <c r="A1" s="5" t="inlineStr">
        <is>
          <t>Campaign Log — the CPA Meta shows you vs the CPA you actually paid</t>
        </is>
      </c>
    </row>
    <row r="3">
      <c r="A3" s="6" t="inlineStr">
        <is>
          <t>Month</t>
        </is>
      </c>
      <c r="B3" s="6" t="inlineStr">
        <is>
          <t>Campaign</t>
        </is>
      </c>
      <c r="C3" s="6" t="inlineStr">
        <is>
          <t>Spend ($)</t>
        </is>
      </c>
      <c r="D3" s="6" t="inlineStr">
        <is>
          <t>Meta conversions</t>
        </is>
      </c>
      <c r="E3" s="6" t="inlineStr">
        <is>
          <t>Backend conversions</t>
        </is>
      </c>
      <c r="F3" s="6" t="inlineStr">
        <is>
          <t>Meta CPA ($)</t>
        </is>
      </c>
      <c r="G3" s="6" t="inlineStr">
        <is>
          <t>TRUE CPA ($)</t>
        </is>
      </c>
      <c r="H3" s="6" t="inlineStr">
        <is>
          <t>CPA understated by</t>
        </is>
      </c>
    </row>
    <row r="4">
      <c r="A4" s="7" t="inlineStr">
        <is>
          <t>2026-08</t>
        </is>
      </c>
      <c r="B4" s="7" t="inlineStr">
        <is>
          <t>spring_sale</t>
        </is>
      </c>
      <c r="C4" s="11" t="n">
        <v>4200</v>
      </c>
      <c r="D4" s="7" t="n">
        <v>142</v>
      </c>
      <c r="E4" s="7" t="n">
        <v>104</v>
      </c>
      <c r="F4" s="12">
        <f>IF(D4=0,"",C4/D4)</f>
        <v/>
      </c>
      <c r="G4" s="12">
        <f>IF(E4=0,"",C4/E4)</f>
        <v/>
      </c>
      <c r="H4" s="10">
        <f>IF(OR(D4=0,E4=0),"",(C4/E4)/(C4/D4)-1)</f>
        <v/>
      </c>
    </row>
    <row r="5">
      <c r="A5" s="7" t="n"/>
      <c r="B5" s="7" t="n"/>
      <c r="C5" s="11" t="n"/>
      <c r="D5" s="7" t="n"/>
      <c r="E5" s="7" t="n"/>
      <c r="F5" s="12">
        <f>IF(D5=0,"",C5/D5)</f>
        <v/>
      </c>
      <c r="G5" s="12">
        <f>IF(E5=0,"",C5/E5)</f>
        <v/>
      </c>
      <c r="H5" s="10">
        <f>IF(OR(D5=0,E5=0),"",(C5/E5)/(C5/D5)-1)</f>
        <v/>
      </c>
    </row>
    <row r="6">
      <c r="A6" s="7" t="n"/>
      <c r="B6" s="7" t="n"/>
      <c r="C6" s="11" t="n"/>
      <c r="D6" s="7" t="n"/>
      <c r="E6" s="7" t="n"/>
      <c r="F6" s="12">
        <f>IF(D6=0,"",C6/D6)</f>
        <v/>
      </c>
      <c r="G6" s="12">
        <f>IF(E6=0,"",C6/E6)</f>
        <v/>
      </c>
      <c r="H6" s="10">
        <f>IF(OR(D6=0,E6=0),"",(C6/E6)/(C6/D6)-1)</f>
        <v/>
      </c>
    </row>
    <row r="7">
      <c r="A7" s="7" t="n"/>
      <c r="B7" s="7" t="n"/>
      <c r="C7" s="11" t="n"/>
      <c r="D7" s="7" t="n"/>
      <c r="E7" s="7" t="n"/>
      <c r="F7" s="12">
        <f>IF(D7=0,"",C7/D7)</f>
        <v/>
      </c>
      <c r="G7" s="12">
        <f>IF(E7=0,"",C7/E7)</f>
        <v/>
      </c>
      <c r="H7" s="10">
        <f>IF(OR(D7=0,E7=0),"",(C7/E7)/(C7/D7)-1)</f>
        <v/>
      </c>
    </row>
    <row r="8">
      <c r="A8" s="7" t="n"/>
      <c r="B8" s="7" t="n"/>
      <c r="C8" s="11" t="n"/>
      <c r="D8" s="7" t="n"/>
      <c r="E8" s="7" t="n"/>
      <c r="F8" s="12">
        <f>IF(D8=0,"",C8/D8)</f>
        <v/>
      </c>
      <c r="G8" s="12">
        <f>IF(E8=0,"",C8/E8)</f>
        <v/>
      </c>
      <c r="H8" s="10">
        <f>IF(OR(D8=0,E8=0),"",(C8/E8)/(C8/D8)-1)</f>
        <v/>
      </c>
    </row>
    <row r="9">
      <c r="A9" s="7" t="n"/>
      <c r="B9" s="7" t="n"/>
      <c r="C9" s="11" t="n"/>
      <c r="D9" s="7" t="n"/>
      <c r="E9" s="7" t="n"/>
      <c r="F9" s="12">
        <f>IF(D9=0,"",C9/D9)</f>
        <v/>
      </c>
      <c r="G9" s="12">
        <f>IF(E9=0,"",C9/E9)</f>
        <v/>
      </c>
      <c r="H9" s="10">
        <f>IF(OR(D9=0,E9=0),"",(C9/E9)/(C9/D9)-1)</f>
        <v/>
      </c>
    </row>
    <row r="10">
      <c r="A10" s="7" t="n"/>
      <c r="B10" s="7" t="n"/>
      <c r="C10" s="11" t="n"/>
      <c r="D10" s="7" t="n"/>
      <c r="E10" s="7" t="n"/>
      <c r="F10" s="12">
        <f>IF(D10=0,"",C10/D10)</f>
        <v/>
      </c>
      <c r="G10" s="12">
        <f>IF(E10=0,"",C10/E10)</f>
        <v/>
      </c>
      <c r="H10" s="10">
        <f>IF(OR(D10=0,E10=0),"",(C10/E10)/(C10/D10)-1)</f>
        <v/>
      </c>
    </row>
    <row r="11">
      <c r="A11" s="7" t="n"/>
      <c r="B11" s="7" t="n"/>
      <c r="C11" s="11" t="n"/>
      <c r="D11" s="7" t="n"/>
      <c r="E11" s="7" t="n"/>
      <c r="F11" s="12">
        <f>IF(D11=0,"",C11/D11)</f>
        <v/>
      </c>
      <c r="G11" s="12">
        <f>IF(E11=0,"",C11/E11)</f>
        <v/>
      </c>
      <c r="H11" s="10">
        <f>IF(OR(D11=0,E11=0),"",(C11/E11)/(C11/D11)-1)</f>
        <v/>
      </c>
    </row>
    <row r="12">
      <c r="A12" s="7" t="n"/>
      <c r="B12" s="7" t="n"/>
      <c r="C12" s="11" t="n"/>
      <c r="D12" s="7" t="n"/>
      <c r="E12" s="7" t="n"/>
      <c r="F12" s="12">
        <f>IF(D12=0,"",C12/D12)</f>
        <v/>
      </c>
      <c r="G12" s="12">
        <f>IF(E12=0,"",C12/E12)</f>
        <v/>
      </c>
      <c r="H12" s="10">
        <f>IF(OR(D12=0,E12=0),"",(C12/E12)/(C12/D12)-1)</f>
        <v/>
      </c>
    </row>
    <row r="13">
      <c r="A13" s="7" t="n"/>
      <c r="B13" s="7" t="n"/>
      <c r="C13" s="11" t="n"/>
      <c r="D13" s="7" t="n"/>
      <c r="E13" s="7" t="n"/>
      <c r="F13" s="12">
        <f>IF(D13=0,"",C13/D13)</f>
        <v/>
      </c>
      <c r="G13" s="12">
        <f>IF(E13=0,"",C13/E13)</f>
        <v/>
      </c>
      <c r="H13" s="10">
        <f>IF(OR(D13=0,E13=0),"",(C13/E13)/(C13/D13)-1)</f>
        <v/>
      </c>
    </row>
    <row r="14">
      <c r="A14" s="7" t="n"/>
      <c r="B14" s="7" t="n"/>
      <c r="C14" s="11" t="n"/>
      <c r="D14" s="7" t="n"/>
      <c r="E14" s="7" t="n"/>
      <c r="F14" s="12">
        <f>IF(D14=0,"",C14/D14)</f>
        <v/>
      </c>
      <c r="G14" s="12">
        <f>IF(E14=0,"",C14/E14)</f>
        <v/>
      </c>
      <c r="H14" s="10">
        <f>IF(OR(D14=0,E14=0),"",(C14/E14)/(C14/D14)-1)</f>
        <v/>
      </c>
    </row>
    <row r="15">
      <c r="A15" s="7" t="n"/>
      <c r="B15" s="7" t="n"/>
      <c r="C15" s="11" t="n"/>
      <c r="D15" s="7" t="n"/>
      <c r="E15" s="7" t="n"/>
      <c r="F15" s="12">
        <f>IF(D15=0,"",C15/D15)</f>
        <v/>
      </c>
      <c r="G15" s="12">
        <f>IF(E15=0,"",C15/E15)</f>
        <v/>
      </c>
      <c r="H15" s="10">
        <f>IF(OR(D15=0,E15=0),"",(C15/E15)/(C15/D15)-1)</f>
        <v/>
      </c>
    </row>
    <row r="16">
      <c r="A16" s="7" t="n"/>
      <c r="B16" s="7" t="n"/>
      <c r="C16" s="11" t="n"/>
      <c r="D16" s="7" t="n"/>
      <c r="E16" s="7" t="n"/>
      <c r="F16" s="12">
        <f>IF(D16=0,"",C16/D16)</f>
        <v/>
      </c>
      <c r="G16" s="12">
        <f>IF(E16=0,"",C16/E16)</f>
        <v/>
      </c>
      <c r="H16" s="10">
        <f>IF(OR(D16=0,E16=0),"",(C16/E16)/(C16/D16)-1)</f>
        <v/>
      </c>
    </row>
    <row r="17">
      <c r="A17" s="7" t="n"/>
      <c r="B17" s="7" t="n"/>
      <c r="C17" s="11" t="n"/>
      <c r="D17" s="7" t="n"/>
      <c r="E17" s="7" t="n"/>
      <c r="F17" s="12">
        <f>IF(D17=0,"",C17/D17)</f>
        <v/>
      </c>
      <c r="G17" s="12">
        <f>IF(E17=0,"",C17/E17)</f>
        <v/>
      </c>
      <c r="H17" s="10">
        <f>IF(OR(D17=0,E17=0),"",(C17/E17)/(C17/D17)-1)</f>
        <v/>
      </c>
    </row>
    <row r="18">
      <c r="A18" s="7" t="n"/>
      <c r="B18" s="7" t="n"/>
      <c r="C18" s="11" t="n"/>
      <c r="D18" s="7" t="n"/>
      <c r="E18" s="7" t="n"/>
      <c r="F18" s="12">
        <f>IF(D18=0,"",C18/D18)</f>
        <v/>
      </c>
      <c r="G18" s="12">
        <f>IF(E18=0,"",C18/E18)</f>
        <v/>
      </c>
      <c r="H18" s="10">
        <f>IF(OR(D18=0,E18=0),"",(C18/E18)/(C18/D18)-1)</f>
        <v/>
      </c>
    </row>
    <row r="19">
      <c r="A19" s="7" t="n"/>
      <c r="B19" s="7" t="n"/>
      <c r="C19" s="11" t="n"/>
      <c r="D19" s="7" t="n"/>
      <c r="E19" s="7" t="n"/>
      <c r="F19" s="12">
        <f>IF(D19=0,"",C19/D19)</f>
        <v/>
      </c>
      <c r="G19" s="12">
        <f>IF(E19=0,"",C19/E19)</f>
        <v/>
      </c>
      <c r="H19" s="10">
        <f>IF(OR(D19=0,E19=0),"",(C19/E19)/(C19/D19)-1)</f>
        <v/>
      </c>
    </row>
    <row r="20">
      <c r="A20" s="7" t="n"/>
      <c r="B20" s="7" t="n"/>
      <c r="C20" s="11" t="n"/>
      <c r="D20" s="7" t="n"/>
      <c r="E20" s="7" t="n"/>
      <c r="F20" s="12">
        <f>IF(D20=0,"",C20/D20)</f>
        <v/>
      </c>
      <c r="G20" s="12">
        <f>IF(E20=0,"",C20/E20)</f>
        <v/>
      </c>
      <c r="H20" s="10">
        <f>IF(OR(D20=0,E20=0),"",(C20/E20)/(C20/D20)-1)</f>
        <v/>
      </c>
    </row>
    <row r="21">
      <c r="A21" s="7" t="n"/>
      <c r="B21" s="7" t="n"/>
      <c r="C21" s="11" t="n"/>
      <c r="D21" s="7" t="n"/>
      <c r="E21" s="7" t="n"/>
      <c r="F21" s="12">
        <f>IF(D21=0,"",C21/D21)</f>
        <v/>
      </c>
      <c r="G21" s="12">
        <f>IF(E21=0,"",C21/E21)</f>
        <v/>
      </c>
      <c r="H21" s="10">
        <f>IF(OR(D21=0,E21=0),"",(C21/E21)/(C21/D21)-1)</f>
        <v/>
      </c>
    </row>
    <row r="22">
      <c r="A22" s="7" t="n"/>
      <c r="B22" s="7" t="n"/>
      <c r="C22" s="11" t="n"/>
      <c r="D22" s="7" t="n"/>
      <c r="E22" s="7" t="n"/>
      <c r="F22" s="12">
        <f>IF(D22=0,"",C22/D22)</f>
        <v/>
      </c>
      <c r="G22" s="12">
        <f>IF(E22=0,"",C22/E22)</f>
        <v/>
      </c>
      <c r="H22" s="10">
        <f>IF(OR(D22=0,E22=0),"",(C22/E22)/(C22/D22)-1)</f>
        <v/>
      </c>
    </row>
    <row r="23">
      <c r="A23" s="7" t="n"/>
      <c r="B23" s="7" t="n"/>
      <c r="C23" s="11" t="n"/>
      <c r="D23" s="7" t="n"/>
      <c r="E23" s="7" t="n"/>
      <c r="F23" s="12">
        <f>IF(D23=0,"",C23/D23)</f>
        <v/>
      </c>
      <c r="G23" s="12">
        <f>IF(E23=0,"",C23/E23)</f>
        <v/>
      </c>
      <c r="H23" s="10">
        <f>IF(OR(D23=0,E23=0),"",(C23/E23)/(C23/D23)-1)</f>
        <v/>
      </c>
    </row>
    <row r="24">
      <c r="A24" s="7" t="n"/>
      <c r="B24" s="7" t="n"/>
      <c r="C24" s="11" t="n"/>
      <c r="D24" s="7" t="n"/>
      <c r="E24" s="7" t="n"/>
      <c r="F24" s="12">
        <f>IF(D24=0,"",C24/D24)</f>
        <v/>
      </c>
      <c r="G24" s="12">
        <f>IF(E24=0,"",C24/E24)</f>
        <v/>
      </c>
      <c r="H24" s="10">
        <f>IF(OR(D24=0,E24=0),"",(C24/E24)/(C24/D24)-1)</f>
        <v/>
      </c>
    </row>
    <row r="25">
      <c r="A25" s="7" t="n"/>
      <c r="B25" s="7" t="n"/>
      <c r="C25" s="11" t="n"/>
      <c r="D25" s="7" t="n"/>
      <c r="E25" s="7" t="n"/>
      <c r="F25" s="12">
        <f>IF(D25=0,"",C25/D25)</f>
        <v/>
      </c>
      <c r="G25" s="12">
        <f>IF(E25=0,"",C25/E25)</f>
        <v/>
      </c>
      <c r="H25" s="10">
        <f>IF(OR(D25=0,E25=0),"",(C25/E25)/(C25/D25)-1)</f>
        <v/>
      </c>
    </row>
    <row r="26">
      <c r="A26" s="7" t="n"/>
      <c r="B26" s="7" t="n"/>
      <c r="C26" s="11" t="n"/>
      <c r="D26" s="7" t="n"/>
      <c r="E26" s="7" t="n"/>
      <c r="F26" s="12">
        <f>IF(D26=0,"",C26/D26)</f>
        <v/>
      </c>
      <c r="G26" s="12">
        <f>IF(E26=0,"",C26/E26)</f>
        <v/>
      </c>
      <c r="H26" s="10">
        <f>IF(OR(D26=0,E26=0),"",(C26/E26)/(C26/D26)-1)</f>
        <v/>
      </c>
    </row>
    <row r="27">
      <c r="A27" s="7" t="n"/>
      <c r="B27" s="7" t="n"/>
      <c r="C27" s="11" t="n"/>
      <c r="D27" s="7" t="n"/>
      <c r="E27" s="7" t="n"/>
      <c r="F27" s="12">
        <f>IF(D27=0,"",C27/D27)</f>
        <v/>
      </c>
      <c r="G27" s="12">
        <f>IF(E27=0,"",C27/E27)</f>
        <v/>
      </c>
      <c r="H27" s="10">
        <f>IF(OR(D27=0,E27=0),"",(C27/E27)/(C27/D27)-1)</f>
        <v/>
      </c>
    </row>
    <row r="29">
      <c r="A29" s="9" t="inlineStr">
        <is>
          <t>If TRUE CPA runs 30%+ above Meta CPA, your bids and budget decisions are being made on inflated conversion counts. Fix tracking before touching creative.</t>
        </is>
      </c>
    </row>
    <row r="31">
      <c r="A31" s="9" t="inlineStr">
        <is>
          <t>Free 15-point audit checklist + fixed-price done-for-you audit: DM @GalaxySportsAI on X. (c) 2026 Garrett Baxley - Signal Origin. Personal/internal business use; no resale.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2026-08-25T16:49:00Z</dcterms:created>
  <dcterms:modified xsi:type="dcterms:W3CDTF">2026-08-25T16:49:00Z</dcterms:modified>
</cp:coreProperties>
</file>